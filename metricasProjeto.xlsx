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6e916cefa585604/Área de Trabalho/mack/charles/trab2/"/>
    </mc:Choice>
  </mc:AlternateContent>
  <xr:revisionPtr revIDLastSave="121" documentId="13_ncr:9_{91D3D7FA-615C-4693-BF80-FB6894F0F410}" xr6:coauthVersionLast="47" xr6:coauthVersionMax="47" xr10:uidLastSave="{A109208C-480C-4C0D-9787-228861F791EA}"/>
  <bookViews>
    <workbookView xWindow="-120" yWindow="-120" windowWidth="29040" windowHeight="15870" activeTab="2" xr2:uid="{5F6A9E50-989E-4DA6-9E69-DD156C9E29C5}"/>
  </bookViews>
  <sheets>
    <sheet name="dados_brutos" sheetId="1" r:id="rId1"/>
    <sheet name="Tabela 1" sheetId="2" r:id="rId2"/>
    <sheet name="Tabela 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3" l="1"/>
  <c r="E6" i="3"/>
  <c r="C6" i="3"/>
  <c r="B6" i="3"/>
  <c r="D6" i="3"/>
  <c r="G6" i="3"/>
  <c r="E6" i="2"/>
  <c r="D6" i="2"/>
  <c r="C6" i="2"/>
  <c r="C5" i="2"/>
  <c r="B6" i="2"/>
  <c r="F51" i="1"/>
  <c r="F50" i="1"/>
  <c r="F49" i="1"/>
  <c r="F48" i="1"/>
  <c r="F47" i="1"/>
  <c r="F38" i="1"/>
  <c r="G5" i="3"/>
  <c r="F5" i="3"/>
  <c r="E5" i="3"/>
  <c r="D5" i="3"/>
  <c r="C5" i="3"/>
  <c r="B5" i="3"/>
  <c r="G4" i="3"/>
  <c r="F4" i="3"/>
  <c r="E4" i="3"/>
  <c r="D4" i="3"/>
  <c r="C4" i="3"/>
  <c r="B4" i="3"/>
  <c r="G3" i="3"/>
  <c r="F3" i="3"/>
  <c r="E3" i="3"/>
  <c r="D3" i="3"/>
  <c r="C3" i="3"/>
  <c r="B3" i="3"/>
  <c r="G2" i="3"/>
  <c r="F2" i="3"/>
  <c r="E2" i="3"/>
  <c r="D2" i="3"/>
  <c r="C2" i="3"/>
  <c r="B2" i="3"/>
  <c r="B5" i="2"/>
  <c r="F41" i="1"/>
  <c r="F40" i="1"/>
  <c r="F39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11" i="1"/>
  <c r="F10" i="1"/>
  <c r="F9" i="1"/>
  <c r="F8" i="1"/>
  <c r="F7" i="1"/>
  <c r="F6" i="1"/>
  <c r="F5" i="1"/>
  <c r="F4" i="1"/>
  <c r="F3" i="1"/>
  <c r="F2" i="1"/>
  <c r="C3" i="2" l="1"/>
  <c r="E4" i="2"/>
  <c r="E2" i="2"/>
  <c r="C2" i="2"/>
  <c r="E5" i="2"/>
  <c r="E3" i="2"/>
  <c r="D2" i="2"/>
  <c r="B3" i="2"/>
  <c r="D3" i="2"/>
  <c r="D4" i="2"/>
  <c r="D5" i="2"/>
  <c r="B2" i="2"/>
  <c r="C4" i="2"/>
  <c r="B4" i="2"/>
</calcChain>
</file>

<file path=xl/sharedStrings.xml><?xml version="1.0" encoding="utf-8"?>
<sst xmlns="http://schemas.openxmlformats.org/spreadsheetml/2006/main" count="106" uniqueCount="40">
  <si>
    <t>Algoritmo</t>
  </si>
  <si>
    <t>Alunos</t>
  </si>
  <si>
    <t>Execucao</t>
  </si>
  <si>
    <t>Tempo</t>
  </si>
  <si>
    <t>Comparacoes</t>
  </si>
  <si>
    <t>Bubble</t>
  </si>
  <si>
    <t>0.006000</t>
  </si>
  <si>
    <t>0.005000</t>
  </si>
  <si>
    <t>0.572000</t>
  </si>
  <si>
    <t>0.567000</t>
  </si>
  <si>
    <t>0.568000</t>
  </si>
  <si>
    <t>0.600000</t>
  </si>
  <si>
    <t>0.574000</t>
  </si>
  <si>
    <t>Merge</t>
  </si>
  <si>
    <t>0.001000</t>
  </si>
  <si>
    <t>0.000000</t>
  </si>
  <si>
    <t>0.074000</t>
  </si>
  <si>
    <t>0.065000</t>
  </si>
  <si>
    <t>0.061000</t>
  </si>
  <si>
    <t>0.063000</t>
  </si>
  <si>
    <t>0.144000</t>
  </si>
  <si>
    <t>0.143000</t>
  </si>
  <si>
    <t>0.149000</t>
  </si>
  <si>
    <t>0.147000</t>
  </si>
  <si>
    <t>0.142000</t>
  </si>
  <si>
    <t>Merge Sort (DV)</t>
  </si>
  <si>
    <t>Merge Sort (Média)</t>
  </si>
  <si>
    <t>Bubble Sort (Média)</t>
  </si>
  <si>
    <t>Bubble Sort (DV)</t>
  </si>
  <si>
    <t>Bubble Sort - Medido (Média)</t>
  </si>
  <si>
    <t>Bubble Sort - Medido (DV)</t>
  </si>
  <si>
    <t>Merge Sort - Medido (Média)</t>
  </si>
  <si>
    <t>Merge Sort - Medido (DV)</t>
  </si>
  <si>
    <t>Merge Sort - Teórico (O n log n)</t>
  </si>
  <si>
    <t>Bubble  Sort - Teórico O(n^2)</t>
  </si>
  <si>
    <t>Tempo Num</t>
  </si>
  <si>
    <t>0.488000</t>
  </si>
  <si>
    <t>0.496000</t>
  </si>
  <si>
    <t>0.411000</t>
  </si>
  <si>
    <t>0.397000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</si>
</sst>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16" fillId="0" borderId="0" xfId="0" applyFont="1" applyAlignment="1">
      <alignment horizontal="center" vertical="center" wrapText="1"/>
    </xf>
    <xf numFmtId="2" fontId="0" fillId="0" borderId="0" xfId="0" applyNumberFormat="1"/>
    <xf numFmtId="164" fontId="0" fillId="0" borderId="0" xfId="0" applyNumberFormat="1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13" fillId="33" borderId="10" xfId="0" applyFont="1" applyFill="1" applyBorder="1"/>
    <xf numFmtId="0" fontId="13" fillId="33" borderId="11" xfId="0" applyFont="1" applyFill="1" applyBorder="1"/>
    <xf numFmtId="0" fontId="0" fillId="0" borderId="10" xfId="0" applyFont="1" applyBorder="1"/>
    <xf numFmtId="0" fontId="0" fillId="0" borderId="12" xfId="0" applyFont="1" applyBorder="1"/>
    <xf numFmtId="0" fontId="0" fillId="0" borderId="0" xfId="0" applyNumberFormat="1"/>
    <xf numFmtId="1" fontId="0" fillId="0" borderId="0" xfId="0" applyNumberFormat="1"/>
    <xf numFmtId="2" fontId="0" fillId="0" borderId="13" xfId="0" applyNumberFormat="1" applyFont="1" applyBorder="1"/>
    <xf numFmtId="2" fontId="0" fillId="0" borderId="11" xfId="0" applyNumberFormat="1" applyFont="1" applyBorder="1"/>
    <xf numFmtId="0" fontId="18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9">
    <dxf>
      <numFmt numFmtId="164" formatCode="0.0000000000"/>
    </dxf>
    <dxf>
      <numFmt numFmtId="164" formatCode="0.0000000000"/>
    </dxf>
    <dxf>
      <numFmt numFmtId="164" formatCode="0.0000000000"/>
    </dxf>
    <dxf>
      <numFmt numFmtId="164" formatCode="0.0000000000"/>
    </dxf>
    <dxf>
      <numFmt numFmtId="1" formatCode="0"/>
      <alignment horizontal="center" vertical="bottom" textRotation="0" wrapText="0" indent="0" justifyLastLine="0" shrinkToFit="0" readingOrder="0"/>
    </dxf>
    <dxf>
      <numFmt numFmtId="164" formatCode="0.0000000000"/>
    </dxf>
    <dxf>
      <numFmt numFmtId="0" formatCode="General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Comparação do Tempo de Execução dos Algoritmos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'Tabela 1'!$B$1</c:f>
              <c:strCache>
                <c:ptCount val="1"/>
                <c:pt idx="0">
                  <c:v>Bubble Sort (Média)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'Tabela 1'!$A$2:$A$6</c:f>
              <c:numCache>
                <c:formatCode>0</c:formatCode>
                <c:ptCount val="5"/>
                <c:pt idx="0">
                  <c:v>1000</c:v>
                </c:pt>
                <c:pt idx="1">
                  <c:v>10000</c:v>
                </c:pt>
                <c:pt idx="2">
                  <c:v>100000</c:v>
                </c:pt>
                <c:pt idx="3">
                  <c:v>200000</c:v>
                </c:pt>
                <c:pt idx="4">
                  <c:v>500000</c:v>
                </c:pt>
              </c:numCache>
            </c:numRef>
          </c:cat>
          <c:val>
            <c:numRef>
              <c:f>'Tabela 1'!$B$2:$B$6</c:f>
              <c:numCache>
                <c:formatCode>0.0000000000</c:formatCode>
                <c:ptCount val="5"/>
                <c:pt idx="0">
                  <c:v>5.6000000000000008E-3</c:v>
                </c:pt>
                <c:pt idx="1">
                  <c:v>0.57619999999999993</c:v>
                </c:pt>
                <c:pt idx="2">
                  <c:v>84.474399999999989</c:v>
                </c:pt>
                <c:pt idx="3">
                  <c:v>363.49519999999995</c:v>
                </c:pt>
                <c:pt idx="4">
                  <c:v>2133.9906000000001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05-4E36-881D-B77B0202BB1E}"/>
            </c:ext>
          </c:extLst>
        </c:ser>
        <c:ser>
          <c:idx val="2"/>
          <c:order val="2"/>
          <c:tx>
            <c:strRef>
              <c:f>'Tabela 1'!$D$1</c:f>
              <c:strCache>
                <c:ptCount val="1"/>
                <c:pt idx="0">
                  <c:v>Merge Sort (Média)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'Tabela 1'!$A$2:$A$6</c:f>
              <c:numCache>
                <c:formatCode>0</c:formatCode>
                <c:ptCount val="5"/>
                <c:pt idx="0">
                  <c:v>1000</c:v>
                </c:pt>
                <c:pt idx="1">
                  <c:v>10000</c:v>
                </c:pt>
                <c:pt idx="2">
                  <c:v>100000</c:v>
                </c:pt>
                <c:pt idx="3">
                  <c:v>200000</c:v>
                </c:pt>
                <c:pt idx="4">
                  <c:v>500000</c:v>
                </c:pt>
              </c:numCache>
            </c:numRef>
          </c:cat>
          <c:val>
            <c:numRef>
              <c:f>'Tabela 1'!$D$2:$D$6</c:f>
              <c:numCache>
                <c:formatCode>0.0000000000</c:formatCode>
                <c:ptCount val="5"/>
                <c:pt idx="0">
                  <c:v>8.0000000000000004E-4</c:v>
                </c:pt>
                <c:pt idx="1">
                  <c:v>5.8000000000000005E-3</c:v>
                </c:pt>
                <c:pt idx="2">
                  <c:v>6.5600000000000006E-2</c:v>
                </c:pt>
                <c:pt idx="3">
                  <c:v>0.14499999999999999</c:v>
                </c:pt>
                <c:pt idx="4">
                  <c:v>0.45600000000000007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505-4E36-881D-B77B0202BB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59871247"/>
        <c:axId val="175988804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'Tabela 1'!$A$1</c15:sqref>
                        </c15:formulaRef>
                      </c:ext>
                    </c:extLst>
                    <c:strCache>
                      <c:ptCount val="1"/>
                      <c:pt idx="0">
                        <c:v>Alunos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'Tabela 1'!$A$2:$A$6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1000</c:v>
                      </c:pt>
                      <c:pt idx="1">
                        <c:v>10000</c:v>
                      </c:pt>
                      <c:pt idx="2">
                        <c:v>100000</c:v>
                      </c:pt>
                      <c:pt idx="3">
                        <c:v>200000</c:v>
                      </c:pt>
                      <c:pt idx="4">
                        <c:v>500000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'Tabela 1'!$A$2:$A$6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1000</c:v>
                      </c:pt>
                      <c:pt idx="1">
                        <c:v>10000</c:v>
                      </c:pt>
                      <c:pt idx="2">
                        <c:v>100000</c:v>
                      </c:pt>
                      <c:pt idx="3">
                        <c:v>200000</c:v>
                      </c:pt>
                      <c:pt idx="4">
                        <c:v>500000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2505-4E36-881D-B77B0202BB1E}"/>
                  </c:ext>
                </c:extLst>
              </c15:ser>
            </c15:filteredLineSeries>
          </c:ext>
        </c:extLst>
      </c:lineChart>
      <c:catAx>
        <c:axId val="1759871247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59888047"/>
        <c:crosses val="autoZero"/>
        <c:auto val="1"/>
        <c:lblAlgn val="ctr"/>
        <c:lblOffset val="100"/>
        <c:noMultiLvlLbl val="0"/>
      </c:catAx>
      <c:valAx>
        <c:axId val="1759888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59871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Comparação do Número de Comparações dos Algoritmos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'Tabela 2'!$C$14</c:f>
              <c:strCache>
                <c:ptCount val="1"/>
                <c:pt idx="0">
                  <c:v>Bubble Sort - Medido (Média)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'Tabela 2'!$B$15:$B$19</c:f>
              <c:numCache>
                <c:formatCode>General</c:formatCode>
                <c:ptCount val="5"/>
                <c:pt idx="0">
                  <c:v>1000</c:v>
                </c:pt>
                <c:pt idx="1">
                  <c:v>10000</c:v>
                </c:pt>
                <c:pt idx="2">
                  <c:v>100000</c:v>
                </c:pt>
                <c:pt idx="3">
                  <c:v>200000</c:v>
                </c:pt>
                <c:pt idx="4">
                  <c:v>500000</c:v>
                </c:pt>
              </c:numCache>
            </c:numRef>
          </c:cat>
          <c:val>
            <c:numRef>
              <c:f>'Tabela 2'!$C$15:$C$19</c:f>
              <c:numCache>
                <c:formatCode>0.00</c:formatCode>
                <c:ptCount val="5"/>
                <c:pt idx="0">
                  <c:v>499500</c:v>
                </c:pt>
                <c:pt idx="1">
                  <c:v>49995000</c:v>
                </c:pt>
                <c:pt idx="2">
                  <c:v>4999950000</c:v>
                </c:pt>
                <c:pt idx="3">
                  <c:v>19999900000</c:v>
                </c:pt>
                <c:pt idx="4">
                  <c:v>124999750000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16B-4AFD-9FE3-DE9F5A9FB55F}"/>
            </c:ext>
          </c:extLst>
        </c:ser>
        <c:ser>
          <c:idx val="2"/>
          <c:order val="2"/>
          <c:tx>
            <c:strRef>
              <c:f>'Tabela 2'!$D$14</c:f>
              <c:strCache>
                <c:ptCount val="1"/>
                <c:pt idx="0">
                  <c:v>Merge Sort - Medido (Média)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'Tabela 2'!$B$15:$B$19</c:f>
              <c:numCache>
                <c:formatCode>General</c:formatCode>
                <c:ptCount val="5"/>
                <c:pt idx="0">
                  <c:v>1000</c:v>
                </c:pt>
                <c:pt idx="1">
                  <c:v>10000</c:v>
                </c:pt>
                <c:pt idx="2">
                  <c:v>100000</c:v>
                </c:pt>
                <c:pt idx="3">
                  <c:v>200000</c:v>
                </c:pt>
                <c:pt idx="4">
                  <c:v>500000</c:v>
                </c:pt>
              </c:numCache>
            </c:numRef>
          </c:cat>
          <c:val>
            <c:numRef>
              <c:f>'Tabela 2'!$D$15:$D$19</c:f>
              <c:numCache>
                <c:formatCode>0.00</c:formatCode>
                <c:ptCount val="5"/>
                <c:pt idx="0">
                  <c:v>8694.6</c:v>
                </c:pt>
                <c:pt idx="1">
                  <c:v>120281.8</c:v>
                </c:pt>
                <c:pt idx="2">
                  <c:v>1532760.2</c:v>
                </c:pt>
                <c:pt idx="3">
                  <c:v>3264479</c:v>
                </c:pt>
                <c:pt idx="4">
                  <c:v>8812929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16B-4AFD-9FE3-DE9F5A9FB5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180191"/>
        <c:axId val="21443711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'Tabela 2'!$B$14</c15:sqref>
                        </c15:formulaRef>
                      </c:ext>
                    </c:extLst>
                    <c:strCache>
                      <c:ptCount val="1"/>
                      <c:pt idx="0">
                        <c:v>Alunos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'Tabela 2'!$B$15:$B$19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1000</c:v>
                      </c:pt>
                      <c:pt idx="1">
                        <c:v>10000</c:v>
                      </c:pt>
                      <c:pt idx="2">
                        <c:v>100000</c:v>
                      </c:pt>
                      <c:pt idx="3">
                        <c:v>200000</c:v>
                      </c:pt>
                      <c:pt idx="4">
                        <c:v>500000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'Tabela 2'!$B$15:$B$19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1000</c:v>
                      </c:pt>
                      <c:pt idx="1">
                        <c:v>10000</c:v>
                      </c:pt>
                      <c:pt idx="2">
                        <c:v>100000</c:v>
                      </c:pt>
                      <c:pt idx="3">
                        <c:v>200000</c:v>
                      </c:pt>
                      <c:pt idx="4">
                        <c:v>500000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A16B-4AFD-9FE3-DE9F5A9FB55F}"/>
                  </c:ext>
                </c:extLst>
              </c15:ser>
            </c15:filteredLineSeries>
          </c:ext>
        </c:extLst>
      </c:lineChart>
      <c:catAx>
        <c:axId val="3518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443711"/>
        <c:crosses val="autoZero"/>
        <c:auto val="1"/>
        <c:lblAlgn val="ctr"/>
        <c:lblOffset val="100"/>
        <c:noMultiLvlLbl val="0"/>
      </c:catAx>
      <c:valAx>
        <c:axId val="21443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5180191"/>
        <c:crosses val="autoZero"/>
        <c:crossBetween val="between"/>
        <c:dispUnits>
          <c:builtInUnit val="b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</c:dispUnitsLbl>
        </c:dispUnits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857249</xdr:colOff>
      <xdr:row>9</xdr:row>
      <xdr:rowOff>3313</xdr:rowOff>
    </xdr:from>
    <xdr:to>
      <xdr:col>8</xdr:col>
      <xdr:colOff>1416325</xdr:colOff>
      <xdr:row>23</xdr:row>
      <xdr:rowOff>79513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AD129F03-B687-0E01-81EB-05186BDFD8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157161</xdr:colOff>
      <xdr:row>11</xdr:row>
      <xdr:rowOff>119062</xdr:rowOff>
    </xdr:from>
    <xdr:to>
      <xdr:col>10</xdr:col>
      <xdr:colOff>114300</xdr:colOff>
      <xdr:row>26</xdr:row>
      <xdr:rowOff>4762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5F5CCF3-ADD1-1A77-A98F-BF5982857F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FD18D0-D139-4AF5-AE1B-51A5AB3A6D0E}" name="Tabela1" displayName="Tabela1" ref="A1:E6" totalsRowShown="0" headerRowDxfId="6" dataDxfId="5">
  <tableColumns count="5">
    <tableColumn id="1" xr3:uid="{BBD4EDC9-AA0D-4962-BBA4-BB7A7196DC33}" name="Alunos" dataDxfId="4"/>
    <tableColumn id="2" xr3:uid="{89636E85-78DE-4CFE-B848-D4DB5401C6A6}" name="Bubble Sort (Média)" dataDxfId="3"/>
    <tableColumn id="3" xr3:uid="{77F4655B-B4A6-4065-AF04-A3FE4A8F281A}" name="Bubble Sort (DV)" dataDxfId="2"/>
    <tableColumn id="4" xr3:uid="{5EA45014-9CDE-4C12-BA22-38DB0EF3AC26}" name="Merge Sort (Média)" dataDxfId="1"/>
    <tableColumn id="5" xr3:uid="{5BCF7E3A-542C-427E-9F16-3084F48EB33D}" name="Merge Sort (DV)" dataDxfId="0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5C816C1-154A-4919-B85C-AAE7B2AD38CF}" name="Tabela4" displayName="Tabela4" ref="A1:G6" totalsRowShown="0">
  <tableColumns count="7">
    <tableColumn id="1" xr3:uid="{21B76CBD-AB99-4B5C-AD58-960CA2C28E24}" name="Alunos"/>
    <tableColumn id="2" xr3:uid="{D0915508-2B6B-49A2-9376-3AC191A1D029}" name="Bubble Sort - Medido (Média)" dataDxfId="8"/>
    <tableColumn id="3" xr3:uid="{79C76B65-AE19-4431-9EBC-343A78309BD0}" name="Bubble Sort - Medido (DV)"/>
    <tableColumn id="4" xr3:uid="{900CED56-4FC4-4937-9FC7-A59715857CB9}" name="Bubble  Sort - Teórico O(n^2)">
      <calculatedColumnFormula>'Tabela 1'!A2^2</calculatedColumnFormula>
    </tableColumn>
    <tableColumn id="5" xr3:uid="{02C4840F-0FA2-4196-90B2-0BE756F74147}" name="Merge Sort - Medido (Média)" dataDxfId="7"/>
    <tableColumn id="6" xr3:uid="{65DE7B07-7252-4376-8980-F846BE55676A}" name="Merge Sort - Medido (DV)"/>
    <tableColumn id="7" xr3:uid="{B2E02F9A-9DA5-42D8-B9B1-E04EA7DCD328}" name="Merge Sort - Teórico (O n log n)">
      <calculatedColumnFormula>'Tabela 1'!A2*(LOG('Tabela 1'!A2,2))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E1A98-114F-4354-8FD5-49AE4B739705}">
  <dimension ref="A1:F51"/>
  <sheetViews>
    <sheetView topLeftCell="A25" workbookViewId="0">
      <selection activeCell="E47" sqref="E47"/>
    </sheetView>
  </sheetViews>
  <sheetFormatPr defaultRowHeight="15" x14ac:dyDescent="0.25"/>
  <cols>
    <col min="1" max="1" width="8.28515625" customWidth="1"/>
    <col min="3" max="3" width="9.140625" style="2"/>
    <col min="4" max="4" width="14.140625" customWidth="1"/>
    <col min="5" max="5" width="17.140625" style="2" customWidth="1"/>
    <col min="6" max="6" width="13.7109375" style="2" bestFit="1" customWidth="1"/>
  </cols>
  <sheetData>
    <row r="1" spans="1:6" x14ac:dyDescent="0.25">
      <c r="A1" t="s">
        <v>0</v>
      </c>
      <c r="B1" t="s">
        <v>1</v>
      </c>
      <c r="C1" s="2" t="s">
        <v>2</v>
      </c>
      <c r="D1" t="s">
        <v>3</v>
      </c>
      <c r="E1" s="2" t="s">
        <v>4</v>
      </c>
      <c r="F1" s="2" t="s">
        <v>35</v>
      </c>
    </row>
    <row r="2" spans="1:6" x14ac:dyDescent="0.25">
      <c r="A2" t="s">
        <v>5</v>
      </c>
      <c r="B2">
        <v>1000</v>
      </c>
      <c r="C2" s="2">
        <v>1</v>
      </c>
      <c r="D2" t="s">
        <v>6</v>
      </c>
      <c r="E2" s="2">
        <v>499500</v>
      </c>
      <c r="F2">
        <f>VALUE(SUBSTITUTE(D2,".",","))</f>
        <v>6.0000000000000001E-3</v>
      </c>
    </row>
    <row r="3" spans="1:6" x14ac:dyDescent="0.25">
      <c r="A3" t="s">
        <v>5</v>
      </c>
      <c r="B3">
        <v>1000</v>
      </c>
      <c r="C3" s="2">
        <v>2</v>
      </c>
      <c r="D3" t="s">
        <v>6</v>
      </c>
      <c r="E3" s="2">
        <v>499500</v>
      </c>
      <c r="F3">
        <f t="shared" ref="F3:F46" si="0">VALUE(SUBSTITUTE(D3,".",","))</f>
        <v>6.0000000000000001E-3</v>
      </c>
    </row>
    <row r="4" spans="1:6" x14ac:dyDescent="0.25">
      <c r="A4" t="s">
        <v>5</v>
      </c>
      <c r="B4">
        <v>1000</v>
      </c>
      <c r="C4" s="2">
        <v>3</v>
      </c>
      <c r="D4" t="s">
        <v>7</v>
      </c>
      <c r="E4" s="2">
        <v>499500</v>
      </c>
      <c r="F4">
        <f t="shared" si="0"/>
        <v>5.0000000000000001E-3</v>
      </c>
    </row>
    <row r="5" spans="1:6" x14ac:dyDescent="0.25">
      <c r="A5" t="s">
        <v>5</v>
      </c>
      <c r="B5">
        <v>1000</v>
      </c>
      <c r="C5" s="2">
        <v>4</v>
      </c>
      <c r="D5" t="s">
        <v>7</v>
      </c>
      <c r="E5" s="2">
        <v>499500</v>
      </c>
      <c r="F5">
        <f t="shared" si="0"/>
        <v>5.0000000000000001E-3</v>
      </c>
    </row>
    <row r="6" spans="1:6" x14ac:dyDescent="0.25">
      <c r="A6" t="s">
        <v>5</v>
      </c>
      <c r="B6">
        <v>1000</v>
      </c>
      <c r="C6" s="2">
        <v>5</v>
      </c>
      <c r="D6" t="s">
        <v>6</v>
      </c>
      <c r="E6" s="2">
        <v>499500</v>
      </c>
      <c r="F6">
        <f t="shared" si="0"/>
        <v>6.0000000000000001E-3</v>
      </c>
    </row>
    <row r="7" spans="1:6" x14ac:dyDescent="0.25">
      <c r="A7" t="s">
        <v>5</v>
      </c>
      <c r="B7">
        <v>10000</v>
      </c>
      <c r="C7" s="2">
        <v>1</v>
      </c>
      <c r="D7" t="s">
        <v>8</v>
      </c>
      <c r="E7" s="2">
        <v>49995000</v>
      </c>
      <c r="F7">
        <f t="shared" si="0"/>
        <v>0.57199999999999995</v>
      </c>
    </row>
    <row r="8" spans="1:6" x14ac:dyDescent="0.25">
      <c r="A8" t="s">
        <v>5</v>
      </c>
      <c r="B8">
        <v>10000</v>
      </c>
      <c r="C8" s="2">
        <v>2</v>
      </c>
      <c r="D8" t="s">
        <v>9</v>
      </c>
      <c r="E8" s="2">
        <v>49995000</v>
      </c>
      <c r="F8">
        <f t="shared" si="0"/>
        <v>0.56699999999999995</v>
      </c>
    </row>
    <row r="9" spans="1:6" x14ac:dyDescent="0.25">
      <c r="A9" t="s">
        <v>5</v>
      </c>
      <c r="B9">
        <v>10000</v>
      </c>
      <c r="C9" s="2">
        <v>3</v>
      </c>
      <c r="D9" t="s">
        <v>10</v>
      </c>
      <c r="E9" s="2">
        <v>49995000</v>
      </c>
      <c r="F9">
        <f t="shared" si="0"/>
        <v>0.56799999999999995</v>
      </c>
    </row>
    <row r="10" spans="1:6" x14ac:dyDescent="0.25">
      <c r="A10" t="s">
        <v>5</v>
      </c>
      <c r="B10">
        <v>10000</v>
      </c>
      <c r="C10" s="2">
        <v>4</v>
      </c>
      <c r="D10" t="s">
        <v>11</v>
      </c>
      <c r="E10" s="2">
        <v>49995000</v>
      </c>
      <c r="F10">
        <f t="shared" si="0"/>
        <v>0.6</v>
      </c>
    </row>
    <row r="11" spans="1:6" x14ac:dyDescent="0.25">
      <c r="A11" t="s">
        <v>5</v>
      </c>
      <c r="B11">
        <v>10000</v>
      </c>
      <c r="C11" s="2">
        <v>5</v>
      </c>
      <c r="D11" t="s">
        <v>12</v>
      </c>
      <c r="E11" s="2">
        <v>49995000</v>
      </c>
      <c r="F11">
        <f t="shared" si="0"/>
        <v>0.57399999999999995</v>
      </c>
    </row>
    <row r="12" spans="1:6" x14ac:dyDescent="0.25">
      <c r="A12" t="s">
        <v>5</v>
      </c>
      <c r="B12">
        <v>100000</v>
      </c>
      <c r="C12" s="2">
        <v>1</v>
      </c>
      <c r="D12">
        <v>85391000</v>
      </c>
      <c r="E12" s="2">
        <v>4999950000</v>
      </c>
      <c r="F12">
        <v>85.391000000000005</v>
      </c>
    </row>
    <row r="13" spans="1:6" x14ac:dyDescent="0.25">
      <c r="A13" t="s">
        <v>5</v>
      </c>
      <c r="B13">
        <v>100000</v>
      </c>
      <c r="C13" s="2">
        <v>2</v>
      </c>
      <c r="D13">
        <v>94235000</v>
      </c>
      <c r="E13" s="2">
        <v>4999950000</v>
      </c>
      <c r="F13">
        <v>94.234999999999999</v>
      </c>
    </row>
    <row r="14" spans="1:6" x14ac:dyDescent="0.25">
      <c r="A14" t="s">
        <v>5</v>
      </c>
      <c r="B14">
        <v>100000</v>
      </c>
      <c r="C14" s="2">
        <v>3</v>
      </c>
      <c r="D14">
        <v>80723000</v>
      </c>
      <c r="E14" s="2">
        <v>4999950000</v>
      </c>
      <c r="F14">
        <v>80.722999999999999</v>
      </c>
    </row>
    <row r="15" spans="1:6" x14ac:dyDescent="0.25">
      <c r="A15" t="s">
        <v>5</v>
      </c>
      <c r="B15">
        <v>100000</v>
      </c>
      <c r="C15" s="2">
        <v>4</v>
      </c>
      <c r="D15">
        <v>80441000</v>
      </c>
      <c r="E15" s="2">
        <v>4999950000</v>
      </c>
      <c r="F15">
        <v>80.441000000000003</v>
      </c>
    </row>
    <row r="16" spans="1:6" x14ac:dyDescent="0.25">
      <c r="A16" t="s">
        <v>5</v>
      </c>
      <c r="B16">
        <v>100000</v>
      </c>
      <c r="C16" s="2">
        <v>5</v>
      </c>
      <c r="D16">
        <v>81582000</v>
      </c>
      <c r="E16" s="2">
        <v>4999950000</v>
      </c>
      <c r="F16">
        <v>81.581999999999994</v>
      </c>
    </row>
    <row r="17" spans="1:6" x14ac:dyDescent="0.25">
      <c r="A17" t="s">
        <v>5</v>
      </c>
      <c r="B17">
        <v>200000</v>
      </c>
      <c r="C17" s="2">
        <v>1</v>
      </c>
      <c r="D17">
        <v>372495000</v>
      </c>
      <c r="E17" s="2">
        <v>19999900000</v>
      </c>
      <c r="F17">
        <v>372.495</v>
      </c>
    </row>
    <row r="18" spans="1:6" x14ac:dyDescent="0.25">
      <c r="A18" t="s">
        <v>5</v>
      </c>
      <c r="B18">
        <v>200000</v>
      </c>
      <c r="C18" s="2">
        <v>2</v>
      </c>
      <c r="D18">
        <v>356639000</v>
      </c>
      <c r="E18" s="2">
        <v>19999900000</v>
      </c>
      <c r="F18">
        <v>356.63900000000001</v>
      </c>
    </row>
    <row r="19" spans="1:6" x14ac:dyDescent="0.25">
      <c r="A19" t="s">
        <v>5</v>
      </c>
      <c r="B19">
        <v>200000</v>
      </c>
      <c r="C19" s="2">
        <v>3</v>
      </c>
      <c r="D19">
        <v>363973000</v>
      </c>
      <c r="E19" s="2">
        <v>19999900000</v>
      </c>
      <c r="F19">
        <v>363.97300000000001</v>
      </c>
    </row>
    <row r="20" spans="1:6" x14ac:dyDescent="0.25">
      <c r="A20" t="s">
        <v>5</v>
      </c>
      <c r="B20">
        <v>200000</v>
      </c>
      <c r="C20" s="2">
        <v>4</v>
      </c>
      <c r="D20">
        <v>361800000</v>
      </c>
      <c r="E20" s="2">
        <v>19999900000</v>
      </c>
      <c r="F20">
        <v>361.8</v>
      </c>
    </row>
    <row r="21" spans="1:6" x14ac:dyDescent="0.25">
      <c r="A21" t="s">
        <v>5</v>
      </c>
      <c r="B21">
        <v>200000</v>
      </c>
      <c r="C21" s="2">
        <v>5</v>
      </c>
      <c r="D21">
        <v>362569000</v>
      </c>
      <c r="E21" s="2">
        <v>19999900000</v>
      </c>
      <c r="F21">
        <v>362.56900000000002</v>
      </c>
    </row>
    <row r="22" spans="1:6" x14ac:dyDescent="0.25">
      <c r="A22" t="s">
        <v>13</v>
      </c>
      <c r="B22">
        <v>1000</v>
      </c>
      <c r="C22" s="2">
        <v>1</v>
      </c>
      <c r="D22" t="s">
        <v>14</v>
      </c>
      <c r="E22" s="2">
        <v>8679</v>
      </c>
      <c r="F22">
        <f t="shared" si="0"/>
        <v>1E-3</v>
      </c>
    </row>
    <row r="23" spans="1:6" x14ac:dyDescent="0.25">
      <c r="A23" t="s">
        <v>13</v>
      </c>
      <c r="B23">
        <v>1000</v>
      </c>
      <c r="C23" s="2">
        <v>2</v>
      </c>
      <c r="D23" t="s">
        <v>14</v>
      </c>
      <c r="E23" s="2">
        <v>8699</v>
      </c>
      <c r="F23">
        <f t="shared" si="0"/>
        <v>1E-3</v>
      </c>
    </row>
    <row r="24" spans="1:6" x14ac:dyDescent="0.25">
      <c r="A24" t="s">
        <v>13</v>
      </c>
      <c r="B24">
        <v>1000</v>
      </c>
      <c r="C24" s="2">
        <v>3</v>
      </c>
      <c r="D24" t="s">
        <v>14</v>
      </c>
      <c r="E24" s="2">
        <v>8719</v>
      </c>
      <c r="F24">
        <f t="shared" si="0"/>
        <v>1E-3</v>
      </c>
    </row>
    <row r="25" spans="1:6" x14ac:dyDescent="0.25">
      <c r="A25" t="s">
        <v>13</v>
      </c>
      <c r="B25">
        <v>1000</v>
      </c>
      <c r="C25" s="2">
        <v>4</v>
      </c>
      <c r="D25" t="s">
        <v>14</v>
      </c>
      <c r="E25" s="2">
        <v>8679</v>
      </c>
      <c r="F25">
        <f t="shared" si="0"/>
        <v>1E-3</v>
      </c>
    </row>
    <row r="26" spans="1:6" x14ac:dyDescent="0.25">
      <c r="A26" t="s">
        <v>13</v>
      </c>
      <c r="B26">
        <v>1000</v>
      </c>
      <c r="C26" s="2">
        <v>5</v>
      </c>
      <c r="D26" t="s">
        <v>15</v>
      </c>
      <c r="E26" s="2">
        <v>8697</v>
      </c>
      <c r="F26">
        <f t="shared" si="0"/>
        <v>0</v>
      </c>
    </row>
    <row r="27" spans="1:6" x14ac:dyDescent="0.25">
      <c r="A27" t="s">
        <v>13</v>
      </c>
      <c r="B27">
        <v>10000</v>
      </c>
      <c r="C27" s="2">
        <v>1</v>
      </c>
      <c r="D27" t="s">
        <v>6</v>
      </c>
      <c r="E27" s="2">
        <v>120330</v>
      </c>
      <c r="F27">
        <f t="shared" si="0"/>
        <v>6.0000000000000001E-3</v>
      </c>
    </row>
    <row r="28" spans="1:6" x14ac:dyDescent="0.25">
      <c r="A28" t="s">
        <v>13</v>
      </c>
      <c r="B28">
        <v>10000</v>
      </c>
      <c r="C28" s="2">
        <v>2</v>
      </c>
      <c r="D28" t="s">
        <v>6</v>
      </c>
      <c r="E28" s="2">
        <v>120422</v>
      </c>
      <c r="F28">
        <f t="shared" si="0"/>
        <v>6.0000000000000001E-3</v>
      </c>
    </row>
    <row r="29" spans="1:6" x14ac:dyDescent="0.25">
      <c r="A29" t="s">
        <v>13</v>
      </c>
      <c r="B29">
        <v>10000</v>
      </c>
      <c r="C29" s="2">
        <v>3</v>
      </c>
      <c r="D29" t="s">
        <v>6</v>
      </c>
      <c r="E29" s="2">
        <v>120239</v>
      </c>
      <c r="F29">
        <f t="shared" si="0"/>
        <v>6.0000000000000001E-3</v>
      </c>
    </row>
    <row r="30" spans="1:6" x14ac:dyDescent="0.25">
      <c r="A30" t="s">
        <v>13</v>
      </c>
      <c r="B30">
        <v>10000</v>
      </c>
      <c r="C30" s="2">
        <v>4</v>
      </c>
      <c r="D30" t="s">
        <v>6</v>
      </c>
      <c r="E30" s="2">
        <v>120211</v>
      </c>
      <c r="F30">
        <f t="shared" si="0"/>
        <v>6.0000000000000001E-3</v>
      </c>
    </row>
    <row r="31" spans="1:6" x14ac:dyDescent="0.25">
      <c r="A31" t="s">
        <v>13</v>
      </c>
      <c r="B31">
        <v>10000</v>
      </c>
      <c r="C31" s="2">
        <v>5</v>
      </c>
      <c r="D31" t="s">
        <v>7</v>
      </c>
      <c r="E31" s="2">
        <v>120207</v>
      </c>
      <c r="F31">
        <f t="shared" si="0"/>
        <v>5.0000000000000001E-3</v>
      </c>
    </row>
    <row r="32" spans="1:6" x14ac:dyDescent="0.25">
      <c r="A32" t="s">
        <v>13</v>
      </c>
      <c r="B32">
        <v>100000</v>
      </c>
      <c r="C32" s="2">
        <v>1</v>
      </c>
      <c r="D32" t="s">
        <v>16</v>
      </c>
      <c r="E32" s="2">
        <v>1532482</v>
      </c>
      <c r="F32">
        <f t="shared" si="0"/>
        <v>7.3999999999999996E-2</v>
      </c>
    </row>
    <row r="33" spans="1:6" x14ac:dyDescent="0.25">
      <c r="A33" t="s">
        <v>13</v>
      </c>
      <c r="B33">
        <v>100000</v>
      </c>
      <c r="C33" s="2">
        <v>2</v>
      </c>
      <c r="D33" t="s">
        <v>17</v>
      </c>
      <c r="E33" s="2">
        <v>1533115</v>
      </c>
      <c r="F33">
        <f t="shared" si="0"/>
        <v>6.5000000000000002E-2</v>
      </c>
    </row>
    <row r="34" spans="1:6" x14ac:dyDescent="0.25">
      <c r="A34" t="s">
        <v>13</v>
      </c>
      <c r="B34">
        <v>100000</v>
      </c>
      <c r="C34" s="2">
        <v>3</v>
      </c>
      <c r="D34" t="s">
        <v>18</v>
      </c>
      <c r="E34" s="2">
        <v>1532468</v>
      </c>
      <c r="F34">
        <f t="shared" si="0"/>
        <v>6.0999999999999999E-2</v>
      </c>
    </row>
    <row r="35" spans="1:6" x14ac:dyDescent="0.25">
      <c r="A35" t="s">
        <v>13</v>
      </c>
      <c r="B35">
        <v>100000</v>
      </c>
      <c r="C35" s="2">
        <v>4</v>
      </c>
      <c r="D35" t="s">
        <v>17</v>
      </c>
      <c r="E35" s="2">
        <v>1533085</v>
      </c>
      <c r="F35">
        <f t="shared" si="0"/>
        <v>6.5000000000000002E-2</v>
      </c>
    </row>
    <row r="36" spans="1:6" x14ac:dyDescent="0.25">
      <c r="A36" t="s">
        <v>13</v>
      </c>
      <c r="B36">
        <v>100000</v>
      </c>
      <c r="C36" s="2">
        <v>5</v>
      </c>
      <c r="D36" t="s">
        <v>19</v>
      </c>
      <c r="E36" s="2">
        <v>1532651</v>
      </c>
      <c r="F36">
        <f t="shared" si="0"/>
        <v>6.3E-2</v>
      </c>
    </row>
    <row r="37" spans="1:6" x14ac:dyDescent="0.25">
      <c r="A37" t="s">
        <v>13</v>
      </c>
      <c r="B37">
        <v>200000</v>
      </c>
      <c r="C37" s="2">
        <v>1</v>
      </c>
      <c r="D37" t="s">
        <v>20</v>
      </c>
      <c r="E37" s="2">
        <v>3264429</v>
      </c>
      <c r="F37">
        <f t="shared" si="0"/>
        <v>0.14399999999999999</v>
      </c>
    </row>
    <row r="38" spans="1:6" x14ac:dyDescent="0.25">
      <c r="A38" t="s">
        <v>13</v>
      </c>
      <c r="B38">
        <v>200000</v>
      </c>
      <c r="C38" s="2">
        <v>2</v>
      </c>
      <c r="D38" t="s">
        <v>21</v>
      </c>
      <c r="E38" s="2">
        <v>3264693</v>
      </c>
      <c r="F38">
        <f t="shared" si="0"/>
        <v>0.14299999999999999</v>
      </c>
    </row>
    <row r="39" spans="1:6" x14ac:dyDescent="0.25">
      <c r="A39" t="s">
        <v>13</v>
      </c>
      <c r="B39">
        <v>200000</v>
      </c>
      <c r="C39" s="2">
        <v>3</v>
      </c>
      <c r="D39" t="s">
        <v>22</v>
      </c>
      <c r="E39" s="2">
        <v>3264723</v>
      </c>
      <c r="F39">
        <f t="shared" si="0"/>
        <v>0.14899999999999999</v>
      </c>
    </row>
    <row r="40" spans="1:6" x14ac:dyDescent="0.25">
      <c r="A40" t="s">
        <v>13</v>
      </c>
      <c r="B40">
        <v>200000</v>
      </c>
      <c r="C40" s="2">
        <v>4</v>
      </c>
      <c r="D40" t="s">
        <v>23</v>
      </c>
      <c r="E40" s="2">
        <v>3264735</v>
      </c>
      <c r="F40">
        <f t="shared" si="0"/>
        <v>0.14699999999999999</v>
      </c>
    </row>
    <row r="41" spans="1:6" x14ac:dyDescent="0.25">
      <c r="A41" t="s">
        <v>13</v>
      </c>
      <c r="B41">
        <v>200000</v>
      </c>
      <c r="C41" s="2">
        <v>5</v>
      </c>
      <c r="D41" t="s">
        <v>24</v>
      </c>
      <c r="E41" s="2">
        <v>3263815</v>
      </c>
      <c r="F41">
        <f t="shared" si="0"/>
        <v>0.14199999999999999</v>
      </c>
    </row>
    <row r="42" spans="1:6" x14ac:dyDescent="0.25">
      <c r="A42" t="s">
        <v>5</v>
      </c>
      <c r="B42">
        <v>500000</v>
      </c>
      <c r="C42" s="2">
        <v>1</v>
      </c>
      <c r="D42" s="11">
        <v>2108176000</v>
      </c>
      <c r="E42" s="2">
        <v>124999750000</v>
      </c>
      <c r="F42" s="2">
        <v>2108.1759999999999</v>
      </c>
    </row>
    <row r="43" spans="1:6" x14ac:dyDescent="0.25">
      <c r="A43" t="s">
        <v>5</v>
      </c>
      <c r="B43">
        <v>500000</v>
      </c>
      <c r="C43" s="2">
        <v>2</v>
      </c>
      <c r="D43" s="11">
        <v>2075004000</v>
      </c>
      <c r="E43" s="2">
        <v>124999750000</v>
      </c>
      <c r="F43" s="2">
        <v>2075.0039999999999</v>
      </c>
    </row>
    <row r="44" spans="1:6" x14ac:dyDescent="0.25">
      <c r="A44" t="s">
        <v>5</v>
      </c>
      <c r="B44">
        <v>500000</v>
      </c>
      <c r="C44" s="2">
        <v>3</v>
      </c>
      <c r="D44" s="11">
        <v>2088027000</v>
      </c>
      <c r="E44" s="2">
        <v>124999750000</v>
      </c>
      <c r="F44" s="2">
        <v>2088.027</v>
      </c>
    </row>
    <row r="45" spans="1:6" x14ac:dyDescent="0.25">
      <c r="A45" t="s">
        <v>5</v>
      </c>
      <c r="B45">
        <v>500000</v>
      </c>
      <c r="C45" s="2">
        <v>4</v>
      </c>
      <c r="D45" s="11">
        <v>2192899000</v>
      </c>
      <c r="E45" s="2">
        <v>124999750000</v>
      </c>
      <c r="F45" s="2">
        <v>2192.8989999999999</v>
      </c>
    </row>
    <row r="46" spans="1:6" x14ac:dyDescent="0.25">
      <c r="A46" t="s">
        <v>5</v>
      </c>
      <c r="B46">
        <v>500000</v>
      </c>
      <c r="C46" s="2">
        <v>5</v>
      </c>
      <c r="D46" s="11">
        <v>2205847000</v>
      </c>
      <c r="E46" s="2">
        <v>124999750000</v>
      </c>
      <c r="F46" s="2">
        <v>2205.8470000000002</v>
      </c>
    </row>
    <row r="47" spans="1:6" x14ac:dyDescent="0.25">
      <c r="A47" t="s">
        <v>13</v>
      </c>
      <c r="B47">
        <v>500000</v>
      </c>
      <c r="C47" s="2">
        <v>1</v>
      </c>
      <c r="D47" t="s">
        <v>36</v>
      </c>
      <c r="E47" s="2">
        <v>8813340</v>
      </c>
      <c r="F47" s="2">
        <f>VALUE(SUBSTITUTE(D47,".",","))</f>
        <v>0.48799999999999999</v>
      </c>
    </row>
    <row r="48" spans="1:6" x14ac:dyDescent="0.25">
      <c r="A48" t="s">
        <v>13</v>
      </c>
      <c r="B48">
        <v>500000</v>
      </c>
      <c r="C48" s="2">
        <v>2</v>
      </c>
      <c r="D48" t="s">
        <v>37</v>
      </c>
      <c r="E48" s="2">
        <v>8812792</v>
      </c>
      <c r="F48" s="2">
        <f>VALUE(SUBSTITUTE(D48,".",","))</f>
        <v>0.496</v>
      </c>
    </row>
    <row r="49" spans="1:6" x14ac:dyDescent="0.25">
      <c r="A49" t="s">
        <v>13</v>
      </c>
      <c r="B49">
        <v>500000</v>
      </c>
      <c r="C49" s="2">
        <v>3</v>
      </c>
      <c r="D49" t="s">
        <v>36</v>
      </c>
      <c r="E49" s="2">
        <v>8813013</v>
      </c>
      <c r="F49" s="2">
        <f>VALUE(SUBSTITUTE(D49,".",","))</f>
        <v>0.48799999999999999</v>
      </c>
    </row>
    <row r="50" spans="1:6" x14ac:dyDescent="0.25">
      <c r="A50" t="s">
        <v>13</v>
      </c>
      <c r="B50">
        <v>500000</v>
      </c>
      <c r="C50" s="2">
        <v>4</v>
      </c>
      <c r="D50" t="s">
        <v>38</v>
      </c>
      <c r="E50" s="2">
        <v>8812595</v>
      </c>
      <c r="F50" s="2">
        <f>VALUE(SUBSTITUTE(D50,".",","))</f>
        <v>0.41099999999999998</v>
      </c>
    </row>
    <row r="51" spans="1:6" x14ac:dyDescent="0.25">
      <c r="A51" t="s">
        <v>13</v>
      </c>
      <c r="B51">
        <v>500000</v>
      </c>
      <c r="C51" s="2">
        <v>5</v>
      </c>
      <c r="D51" t="s">
        <v>39</v>
      </c>
      <c r="E51" s="2">
        <v>8812905</v>
      </c>
      <c r="F51" s="2">
        <f>VALUE(SUBSTITUTE(D51,".",","))</f>
        <v>0.39700000000000002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EE3D2-83E5-4EB0-90F6-4CFA5E37D543}">
  <dimension ref="A1:E19"/>
  <sheetViews>
    <sheetView zoomScale="115" zoomScaleNormal="115" workbookViewId="0">
      <selection activeCell="G5" sqref="G5"/>
    </sheetView>
  </sheetViews>
  <sheetFormatPr defaultRowHeight="15" x14ac:dyDescent="0.25"/>
  <cols>
    <col min="1" max="1" width="19.42578125" bestFit="1" customWidth="1"/>
    <col min="2" max="2" width="24.7109375" customWidth="1"/>
    <col min="3" max="3" width="18.140625" customWidth="1"/>
    <col min="4" max="4" width="22.5703125" customWidth="1"/>
    <col min="5" max="5" width="19.140625" customWidth="1"/>
    <col min="8" max="8" width="9.7109375" customWidth="1"/>
    <col min="9" max="9" width="27" bestFit="1" customWidth="1"/>
    <col min="10" max="10" width="23.85546875" bestFit="1" customWidth="1"/>
    <col min="11" max="11" width="26.7109375" bestFit="1" customWidth="1"/>
    <col min="12" max="12" width="26.140625" bestFit="1" customWidth="1"/>
    <col min="13" max="13" width="23" bestFit="1" customWidth="1"/>
    <col min="14" max="14" width="28.42578125" bestFit="1" customWidth="1"/>
  </cols>
  <sheetData>
    <row r="1" spans="1:5" x14ac:dyDescent="0.25">
      <c r="A1" s="5" t="s">
        <v>1</v>
      </c>
      <c r="B1" t="s">
        <v>27</v>
      </c>
      <c r="C1" t="s">
        <v>28</v>
      </c>
      <c r="D1" t="s">
        <v>26</v>
      </c>
      <c r="E1" t="s">
        <v>25</v>
      </c>
    </row>
    <row r="2" spans="1:5" x14ac:dyDescent="0.25">
      <c r="A2" s="4">
        <v>1000</v>
      </c>
      <c r="B2" s="3">
        <f>AVERAGE(dados_brutos!F2:F6)</f>
        <v>5.6000000000000008E-3</v>
      </c>
      <c r="C2" s="3">
        <f>_xlfn.STDEV.S(dados_brutos!F2:F6)</f>
        <v>5.4772255750516611E-4</v>
      </c>
      <c r="D2" s="3">
        <f>AVERAGE(dados_brutos!F22:F26)</f>
        <v>8.0000000000000004E-4</v>
      </c>
      <c r="E2" s="3">
        <f>_xlfn.STDEV.S(dados_brutos!F22:F26)</f>
        <v>4.4721359549995795E-4</v>
      </c>
    </row>
    <row r="3" spans="1:5" x14ac:dyDescent="0.25">
      <c r="A3" s="4">
        <v>10000</v>
      </c>
      <c r="B3" s="3">
        <f>AVERAGE(dados_brutos!F7:F11)</f>
        <v>0.57619999999999993</v>
      </c>
      <c r="C3" s="3">
        <f>_xlfn.STDEV.S(dados_brutos!F7:F11)</f>
        <v>1.3608820668963212E-2</v>
      </c>
      <c r="D3" s="3">
        <f>AVERAGE(dados_brutos!F27:F31)</f>
        <v>5.8000000000000005E-3</v>
      </c>
      <c r="E3" s="3">
        <f>_xlfn.STDEV.S(dados_brutos!F27:F31)</f>
        <v>4.4721359549995795E-4</v>
      </c>
    </row>
    <row r="4" spans="1:5" x14ac:dyDescent="0.25">
      <c r="A4" s="4">
        <v>100000</v>
      </c>
      <c r="B4" s="3">
        <f>AVERAGE(dados_brutos!F12:F16)</f>
        <v>84.474399999999989</v>
      </c>
      <c r="C4" s="3">
        <f>_xlfn.STDEV.S(dados_brutos!F12:F16)</f>
        <v>5.8055310523672174</v>
      </c>
      <c r="D4" s="3">
        <f>AVERAGE(dados_brutos!F32:F36)</f>
        <v>6.5600000000000006E-2</v>
      </c>
      <c r="E4" s="3">
        <f>_xlfn.STDEV.S(dados_brutos!F32:F36)</f>
        <v>4.9799598391954908E-3</v>
      </c>
    </row>
    <row r="5" spans="1:5" x14ac:dyDescent="0.25">
      <c r="A5" s="4">
        <v>200000</v>
      </c>
      <c r="B5" s="3">
        <f>AVERAGE(dados_brutos!F17:F21)</f>
        <v>363.49519999999995</v>
      </c>
      <c r="C5" s="3">
        <f>_xlfn.STDEV.S(dados_brutos!F17:F21)</f>
        <v>5.7437731675267241</v>
      </c>
      <c r="D5" s="3">
        <f>AVERAGE(dados_brutos!F37:F41)</f>
        <v>0.14499999999999999</v>
      </c>
      <c r="E5" s="3">
        <f>_xlfn.STDEV.S(dados_brutos!F37:F41)</f>
        <v>2.9154759474226528E-3</v>
      </c>
    </row>
    <row r="6" spans="1:5" x14ac:dyDescent="0.25">
      <c r="A6" s="4">
        <v>500000</v>
      </c>
      <c r="B6" s="3">
        <f>AVERAGE(dados_brutos!F42:F46)</f>
        <v>2133.9906000000001</v>
      </c>
      <c r="C6" s="3">
        <f>_xlfn.STDEV.S(dados_brutos!F42:F46)</f>
        <v>61.016405353806341</v>
      </c>
      <c r="D6" s="3">
        <f>AVERAGE(dados_brutos!F47:F51)</f>
        <v>0.45600000000000007</v>
      </c>
      <c r="E6" s="3">
        <f>_xlfn.STDEV.S(dados_brutos!F47:F51)</f>
        <v>4.7838269199459965E-2</v>
      </c>
    </row>
    <row r="15" spans="1:5" x14ac:dyDescent="0.25">
      <c r="B15" s="1"/>
      <c r="C15" s="1"/>
      <c r="D15" s="1"/>
    </row>
    <row r="16" spans="1:5" x14ac:dyDescent="0.25">
      <c r="B16" s="6"/>
      <c r="C16" s="6"/>
      <c r="D16" s="6"/>
    </row>
    <row r="17" spans="2:4" x14ac:dyDescent="0.25">
      <c r="B17" s="6"/>
      <c r="C17" s="6"/>
      <c r="D17" s="6"/>
    </row>
    <row r="18" spans="2:4" x14ac:dyDescent="0.25">
      <c r="B18" s="6"/>
      <c r="C18" s="6"/>
      <c r="D18" s="6"/>
    </row>
    <row r="19" spans="2:4" x14ac:dyDescent="0.25">
      <c r="B19" s="6"/>
      <c r="C19" s="6"/>
      <c r="D19" s="6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CAFDB-836C-4B3E-854B-6F93334FE479}">
  <dimension ref="A1:G32"/>
  <sheetViews>
    <sheetView tabSelected="1" zoomScaleNormal="100" workbookViewId="0">
      <selection activeCell="D32" sqref="D32"/>
    </sheetView>
  </sheetViews>
  <sheetFormatPr defaultRowHeight="15" x14ac:dyDescent="0.25"/>
  <cols>
    <col min="1" max="1" width="9.28515625" customWidth="1"/>
    <col min="2" max="2" width="28.5703125" customWidth="1"/>
    <col min="3" max="3" width="25.5703125" customWidth="1"/>
    <col min="4" max="4" width="28.28515625" customWidth="1"/>
    <col min="5" max="5" width="27.7109375" customWidth="1"/>
    <col min="6" max="6" width="24.7109375" customWidth="1"/>
    <col min="7" max="7" width="30" customWidth="1"/>
  </cols>
  <sheetData>
    <row r="1" spans="1:7" x14ac:dyDescent="0.25">
      <c r="A1" t="s">
        <v>1</v>
      </c>
      <c r="B1" t="s">
        <v>29</v>
      </c>
      <c r="C1" t="s">
        <v>30</v>
      </c>
      <c r="D1" t="s">
        <v>34</v>
      </c>
      <c r="E1" t="s">
        <v>31</v>
      </c>
      <c r="F1" t="s">
        <v>32</v>
      </c>
      <c r="G1" t="s">
        <v>33</v>
      </c>
    </row>
    <row r="2" spans="1:7" x14ac:dyDescent="0.25">
      <c r="A2">
        <v>1000</v>
      </c>
      <c r="B2" s="2">
        <f>AVERAGE(dados_brutos!E2:E6)</f>
        <v>499500</v>
      </c>
      <c r="C2">
        <f>_xlfn.STDEV.S(dados_brutos!E2:E6)</f>
        <v>0</v>
      </c>
      <c r="D2">
        <f>'Tabela 1'!A2^2</f>
        <v>1000000</v>
      </c>
      <c r="E2" s="2">
        <f>AVERAGE(dados_brutos!E22:E26)</f>
        <v>8694.6</v>
      </c>
      <c r="F2">
        <f>_xlfn.STDEV.S(dados_brutos!E22:E26)</f>
        <v>16.637307474468336</v>
      </c>
      <c r="G2">
        <f>'Tabela 1'!A2*(LOG('Tabela 1'!A2,2))</f>
        <v>9965.7842846620879</v>
      </c>
    </row>
    <row r="3" spans="1:7" x14ac:dyDescent="0.25">
      <c r="A3">
        <v>10000</v>
      </c>
      <c r="B3" s="2">
        <f>AVERAGE(dados_brutos!E7:E11)</f>
        <v>49995000</v>
      </c>
      <c r="C3">
        <f>_xlfn.STDEV.S(dados_brutos!E7:E11)</f>
        <v>0</v>
      </c>
      <c r="D3">
        <f>'Tabela 1'!A3^2</f>
        <v>100000000</v>
      </c>
      <c r="E3" s="2">
        <f>AVERAGE(dados_brutos!E27:E31)</f>
        <v>120281.8</v>
      </c>
      <c r="F3">
        <f>_xlfn.STDEV.S(dados_brutos!E27:E31)</f>
        <v>92.761522195358566</v>
      </c>
      <c r="G3">
        <f>'Tabela 1'!A3*(LOG('Tabela 1'!A3,2))</f>
        <v>132877.1237954945</v>
      </c>
    </row>
    <row r="4" spans="1:7" x14ac:dyDescent="0.25">
      <c r="A4">
        <v>100000</v>
      </c>
      <c r="B4" s="2">
        <f>AVERAGE(dados_brutos!E12:E16)</f>
        <v>4999950000</v>
      </c>
      <c r="C4">
        <f>_xlfn.STDEV.S(dados_brutos!E12:E16)</f>
        <v>0</v>
      </c>
      <c r="D4">
        <f>'Tabela 1'!A4^2</f>
        <v>10000000000</v>
      </c>
      <c r="E4" s="2">
        <f>AVERAGE(dados_brutos!E32:E36)</f>
        <v>1532760.2</v>
      </c>
      <c r="F4">
        <f>_xlfn.STDEV.S(dados_brutos!E32:E36)</f>
        <v>318.62156235885857</v>
      </c>
      <c r="G4">
        <f>'Tabela 1'!A4*(LOG('Tabela 1'!A4,2))</f>
        <v>1660964.0474436812</v>
      </c>
    </row>
    <row r="5" spans="1:7" x14ac:dyDescent="0.25">
      <c r="A5">
        <v>200000</v>
      </c>
      <c r="B5" s="2">
        <f>AVERAGE(dados_brutos!E17:E21)</f>
        <v>19999900000</v>
      </c>
      <c r="C5">
        <f>_xlfn.STDEV.S(dados_brutos!E17:E21)</f>
        <v>0</v>
      </c>
      <c r="D5">
        <f>'Tabela 1'!A5^2</f>
        <v>40000000000</v>
      </c>
      <c r="E5" s="2">
        <f>AVERAGE(dados_brutos!E37:E41)</f>
        <v>3264479</v>
      </c>
      <c r="F5">
        <f>_xlfn.STDEV.S(dados_brutos!E37:E41)</f>
        <v>391.87498006379536</v>
      </c>
      <c r="G5">
        <f>'Tabela 1'!A5*(LOG('Tabela 1'!A5,2))</f>
        <v>3521928.0948873623</v>
      </c>
    </row>
    <row r="6" spans="1:7" x14ac:dyDescent="0.25">
      <c r="A6">
        <v>500000</v>
      </c>
      <c r="B6" s="2">
        <f>AVERAGE(dados_brutos!E42:E46)</f>
        <v>124999750000</v>
      </c>
      <c r="C6">
        <f>_xlfn.STDEV.S(dados_brutos!E42:E46)</f>
        <v>0</v>
      </c>
      <c r="D6" s="12">
        <f>'Tabela 1'!A6^2</f>
        <v>250000000000</v>
      </c>
      <c r="E6" s="2">
        <f>AVERAGE(dados_brutos!E47:E51)</f>
        <v>8812929</v>
      </c>
      <c r="F6">
        <f>_xlfn.STDEV.S(dados_brutos!E47:E51)</f>
        <v>276.98285145474262</v>
      </c>
      <c r="G6">
        <f>'Tabela 1'!A6*(LOG('Tabela 1'!A6,2))</f>
        <v>9465784.2846620865</v>
      </c>
    </row>
    <row r="14" spans="1:7" x14ac:dyDescent="0.25">
      <c r="B14" s="7" t="s">
        <v>1</v>
      </c>
      <c r="C14" s="8" t="s">
        <v>29</v>
      </c>
      <c r="D14" s="8" t="s">
        <v>31</v>
      </c>
    </row>
    <row r="15" spans="1:7" x14ac:dyDescent="0.25">
      <c r="B15" s="9">
        <v>1000</v>
      </c>
      <c r="C15" s="14">
        <v>499500</v>
      </c>
      <c r="D15" s="14">
        <v>8694.6</v>
      </c>
    </row>
    <row r="16" spans="1:7" x14ac:dyDescent="0.25">
      <c r="B16" s="9">
        <v>10000</v>
      </c>
      <c r="C16" s="14">
        <v>49995000</v>
      </c>
      <c r="D16" s="14">
        <v>120281.8</v>
      </c>
    </row>
    <row r="17" spans="2:4" x14ac:dyDescent="0.25">
      <c r="B17" s="9">
        <v>100000</v>
      </c>
      <c r="C17" s="14">
        <v>4999950000</v>
      </c>
      <c r="D17" s="14">
        <v>1532760.2</v>
      </c>
    </row>
    <row r="18" spans="2:4" x14ac:dyDescent="0.25">
      <c r="B18" s="9">
        <v>200000</v>
      </c>
      <c r="C18" s="14">
        <v>19999900000</v>
      </c>
      <c r="D18" s="14">
        <v>3264479</v>
      </c>
    </row>
    <row r="19" spans="2:4" x14ac:dyDescent="0.25">
      <c r="B19" s="10">
        <v>500000</v>
      </c>
      <c r="C19" s="13">
        <v>124999750000</v>
      </c>
      <c r="D19" s="13">
        <v>8812929</v>
      </c>
    </row>
    <row r="32" spans="2:4" x14ac:dyDescent="0.25">
      <c r="D32" s="15"/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dados_brutos</vt:lpstr>
      <vt:lpstr>Tabela 1</vt:lpstr>
      <vt:lpstr>Tabela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</dc:creator>
  <cp:lastModifiedBy>Nicolas Santos</cp:lastModifiedBy>
  <dcterms:created xsi:type="dcterms:W3CDTF">2026-05-10T21:31:54Z</dcterms:created>
  <dcterms:modified xsi:type="dcterms:W3CDTF">2026-05-17T18:21:33Z</dcterms:modified>
</cp:coreProperties>
</file>